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h2/github/MaterialExergyPaper2025/data/"/>
    </mc:Choice>
  </mc:AlternateContent>
  <xr:revisionPtr revIDLastSave="0" documentId="13_ncr:1_{8EC4CFF9-490D-6245-8BAC-4254A7EA2F35}" xr6:coauthVersionLast="47" xr6:coauthVersionMax="47" xr10:uidLastSave="{00000000-0000-0000-0000-000000000000}"/>
  <bookViews>
    <workbookView xWindow="19180" yWindow="3060" windowWidth="28040" windowHeight="17440" xr2:uid="{742590E8-047E-1447-91ED-17B8D0993C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2" i="1"/>
  <c r="C19" i="1"/>
  <c r="C18" i="1"/>
  <c r="C16" i="1"/>
  <c r="C9" i="1"/>
  <c r="C20" i="1"/>
  <c r="C17" i="1"/>
  <c r="C15" i="1"/>
  <c r="C14" i="1"/>
  <c r="C13" i="1"/>
  <c r="C12" i="1"/>
  <c r="C11" i="1"/>
  <c r="C10" i="1"/>
  <c r="C8" i="1"/>
  <c r="C7" i="1"/>
  <c r="C5" i="1"/>
  <c r="C4" i="1"/>
  <c r="C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</author>
  </authors>
  <commentList>
    <comment ref="C21" authorId="0" shapeId="0" xr:uid="{E36F0B66-EA10-EC4E-8916-486EEA2766FB}">
      <text>
        <r>
          <rPr>
            <b/>
            <sz val="10"/>
            <color rgb="FF000000"/>
            <rFont val="Tahoma"/>
            <family val="2"/>
          </rPr>
          <t>Matt: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Temperatures below the line are all from the BXCC Q loss tab in the Paper Examples.xlsx file.</t>
        </r>
      </text>
    </comment>
  </commentList>
</comments>
</file>

<file path=xl/sharedStrings.xml><?xml version="1.0" encoding="utf-8"?>
<sst xmlns="http://schemas.openxmlformats.org/spreadsheetml/2006/main" count="85" uniqueCount="61">
  <si>
    <t>Industry</t>
  </si>
  <si>
    <t>Transfers</t>
  </si>
  <si>
    <t>Blast furnaces</t>
  </si>
  <si>
    <t>Charcoal production plants</t>
  </si>
  <si>
    <t>Coal liquefaction plants</t>
  </si>
  <si>
    <t>Coal mines</t>
  </si>
  <si>
    <t>Coke ovens</t>
  </si>
  <si>
    <t>Gas works</t>
  </si>
  <si>
    <t>Gas-to-liquids (GTL) plants</t>
  </si>
  <si>
    <t>Main activity producer electricity plants</t>
  </si>
  <si>
    <t>Manufacture [of Hydro]</t>
  </si>
  <si>
    <t>Manufacture [of Nuclear]</t>
  </si>
  <si>
    <t>Manufacture [of Primary solid biofuels]</t>
  </si>
  <si>
    <t>Manufacture [of Solar photovoltaics]</t>
  </si>
  <si>
    <t>Manufacture [of Solar thermal]</t>
  </si>
  <si>
    <t>Manufacture [of Wind]</t>
  </si>
  <si>
    <t>Natural gas extraction</t>
  </si>
  <si>
    <t>Nuclear industry</t>
  </si>
  <si>
    <t>Oil extraction</t>
  </si>
  <si>
    <t>Oil refineries</t>
  </si>
  <si>
    <t>Iron ore extraction</t>
  </si>
  <si>
    <t>Limestone extraction</t>
  </si>
  <si>
    <t>Coal extraction</t>
  </si>
  <si>
    <t>Iron ore hauling</t>
  </si>
  <si>
    <t>Limestone hauling</t>
  </si>
  <si>
    <t>Coal hauling</t>
  </si>
  <si>
    <t>Iron ore beneficiation</t>
  </si>
  <si>
    <t>Limestone beneficiation</t>
  </si>
  <si>
    <t>Coal beneficiation</t>
  </si>
  <si>
    <t>Rotary kiln</t>
  </si>
  <si>
    <t>Coke oven</t>
  </si>
  <si>
    <t>HTH.1573.K</t>
  </si>
  <si>
    <t>Mixer</t>
  </si>
  <si>
    <t>COG distribution</t>
  </si>
  <si>
    <t>Blast furnace</t>
  </si>
  <si>
    <t>HTH.1144.K</t>
  </si>
  <si>
    <t>COG treatment</t>
  </si>
  <si>
    <t>HeatLossFlow</t>
  </si>
  <si>
    <t>Note</t>
  </si>
  <si>
    <t>HTH.600.C</t>
  </si>
  <si>
    <t>https://pelletindia.com/blog/2024/09/11/charcoal-carbonization-and-torrefaction-of-biomass-materials-relate-to-their-processing-temperatures-chemical-properties-and-end-uses/</t>
  </si>
  <si>
    <t>https://www.economics.utoronto.ca/munro5/BlastFurnaceHydraulic.pdf</t>
  </si>
  <si>
    <t xml:space="preserve">https://www.advancedenergy.com/getmedia/fffbe6eb-14ab-46b2-8b14-eb04ea9883ff/en-im-steel-coke-oven-application-note.pdf </t>
  </si>
  <si>
    <t>https://en.wikipedia.org/wiki/Coal_liquefaction</t>
  </si>
  <si>
    <t>HTH.500.C</t>
  </si>
  <si>
    <t>LTH.25.C</t>
  </si>
  <si>
    <t>HTH.2500.C</t>
  </si>
  <si>
    <t>Assume diesel combustion temperatures: https://engineerfix.com/how-hot-does-diesel-fuel-burn/</t>
  </si>
  <si>
    <t>HTH.1200.F</t>
  </si>
  <si>
    <t>https://www.terpconnect.umd.edu/~nsw/chbe446/Team0-Sampleb-Project1-FinalReport.pdf See Figure 3 for waste heat temperatures.</t>
  </si>
  <si>
    <t>MTH.200.C</t>
  </si>
  <si>
    <t>Assumed exhaust temperature</t>
  </si>
  <si>
    <t>**** Need to decide a temperature</t>
  </si>
  <si>
    <t>phi</t>
  </si>
  <si>
    <t>TemperatureK</t>
  </si>
  <si>
    <t>HTH.1175.C</t>
  </si>
  <si>
    <t>HTH.900.C</t>
  </si>
  <si>
    <t>HTH.1300.C</t>
  </si>
  <si>
    <t>HTH.2100.C</t>
  </si>
  <si>
    <t>LTH.65.C</t>
  </si>
  <si>
    <t>LTH.50.C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</si>
</sst>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www.terpconnect.umd.edu/~nsw/chbe446/Team0-Sampleb-Project1-FinalReport.pdf%20See%20Figure%203%20for%20waste%20heat%20temperatures." TargetMode="External"/><Relationship Id="rId1" Type="http://schemas.openxmlformats.org/officeDocument/2006/relationships/hyperlink" Target="https://www.advancedenergy.com/getmedia/fffbe6eb-14ab-46b2-8b14-eb04ea9883ff/en-im-steel-coke-oven-application-note.pdf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C2A6-D39E-A444-B5A1-5D796C28F5AC}">
  <dimension ref="A1:E35"/>
  <sheetViews>
    <sheetView tabSelected="1" workbookViewId="0">
      <selection activeCell="B8" sqref="B8"/>
    </sheetView>
  </sheetViews>
  <sheetFormatPr baseColWidth="10" defaultRowHeight="16" x14ac:dyDescent="0.2"/>
  <cols>
    <col min="1" max="1" width="33.83203125" bestFit="1" customWidth="1"/>
    <col min="2" max="2" width="12.5" bestFit="1" customWidth="1"/>
    <col min="3" max="4" width="12.5" customWidth="1"/>
  </cols>
  <sheetData>
    <row r="1" spans="1:5" x14ac:dyDescent="0.2">
      <c r="A1" t="s">
        <v>0</v>
      </c>
      <c r="B1" t="s">
        <v>37</v>
      </c>
      <c r="C1" t="s">
        <v>54</v>
      </c>
      <c r="D1" t="s">
        <v>53</v>
      </c>
      <c r="E1" t="s">
        <v>38</v>
      </c>
    </row>
    <row r="2" spans="1:5" x14ac:dyDescent="0.2">
      <c r="A2" t="s">
        <v>2</v>
      </c>
      <c r="B2" t="s">
        <v>35</v>
      </c>
      <c r="C2">
        <v>1144</v>
      </c>
      <c r="D2">
        <f>1 - 298.15/C2</f>
        <v>0.73937937062937065</v>
      </c>
      <c r="E2" t="s">
        <v>41</v>
      </c>
    </row>
    <row r="3" spans="1:5" x14ac:dyDescent="0.2">
      <c r="A3" t="s">
        <v>3</v>
      </c>
      <c r="B3" t="s">
        <v>39</v>
      </c>
      <c r="C3">
        <f>600+273.15</f>
        <v>873.15</v>
      </c>
      <c r="D3">
        <f t="shared" ref="D3:D35" si="0">1 - 298.15/C3</f>
        <v>0.65853518868464755</v>
      </c>
      <c r="E3" t="s">
        <v>40</v>
      </c>
    </row>
    <row r="4" spans="1:5" x14ac:dyDescent="0.2">
      <c r="A4" t="s">
        <v>4</v>
      </c>
      <c r="B4" t="s">
        <v>44</v>
      </c>
      <c r="C4">
        <f>500+273.15</f>
        <v>773.15</v>
      </c>
      <c r="D4">
        <f t="shared" si="0"/>
        <v>0.61436978594063252</v>
      </c>
      <c r="E4" t="s">
        <v>43</v>
      </c>
    </row>
    <row r="5" spans="1:5" x14ac:dyDescent="0.2">
      <c r="A5" t="s">
        <v>5</v>
      </c>
      <c r="B5" t="s">
        <v>46</v>
      </c>
      <c r="C5">
        <f>2500+273.15</f>
        <v>2773.15</v>
      </c>
      <c r="D5">
        <f t="shared" si="0"/>
        <v>0.8924868831473235</v>
      </c>
      <c r="E5" t="s">
        <v>47</v>
      </c>
    </row>
    <row r="6" spans="1:5" x14ac:dyDescent="0.2">
      <c r="A6" t="s">
        <v>6</v>
      </c>
      <c r="B6" t="s">
        <v>31</v>
      </c>
      <c r="C6">
        <v>1573</v>
      </c>
      <c r="D6">
        <f t="shared" si="0"/>
        <v>0.81045772409408778</v>
      </c>
      <c r="E6" s="3" t="s">
        <v>42</v>
      </c>
    </row>
    <row r="7" spans="1:5" x14ac:dyDescent="0.2">
      <c r="A7" t="s">
        <v>7</v>
      </c>
      <c r="B7" t="s">
        <v>45</v>
      </c>
      <c r="C7">
        <f>25+273.15</f>
        <v>298.14999999999998</v>
      </c>
      <c r="D7">
        <f t="shared" si="0"/>
        <v>0</v>
      </c>
      <c r="E7" t="s">
        <v>52</v>
      </c>
    </row>
    <row r="8" spans="1:5" x14ac:dyDescent="0.2">
      <c r="A8" t="s">
        <v>8</v>
      </c>
      <c r="B8" t="s">
        <v>48</v>
      </c>
      <c r="C8">
        <f>(1200-32)*5/9 + 273.15</f>
        <v>922.03888888888889</v>
      </c>
      <c r="D8">
        <f t="shared" si="0"/>
        <v>0.67664053697421778</v>
      </c>
      <c r="E8" s="3" t="s">
        <v>49</v>
      </c>
    </row>
    <row r="9" spans="1:5" x14ac:dyDescent="0.2">
      <c r="A9" t="s">
        <v>9</v>
      </c>
      <c r="B9" t="s">
        <v>50</v>
      </c>
      <c r="C9">
        <f>200+273.15</f>
        <v>473.15</v>
      </c>
      <c r="D9">
        <f t="shared" si="0"/>
        <v>0.36986156609954557</v>
      </c>
      <c r="E9" t="s">
        <v>51</v>
      </c>
    </row>
    <row r="10" spans="1:5" x14ac:dyDescent="0.2">
      <c r="A10" t="s">
        <v>10</v>
      </c>
      <c r="B10" t="s">
        <v>45</v>
      </c>
      <c r="C10">
        <f t="shared" ref="C10:C20" si="1">25+273.15</f>
        <v>298.14999999999998</v>
      </c>
      <c r="D10">
        <f t="shared" si="0"/>
        <v>0</v>
      </c>
    </row>
    <row r="11" spans="1:5" x14ac:dyDescent="0.2">
      <c r="A11" t="s">
        <v>11</v>
      </c>
      <c r="B11" t="s">
        <v>45</v>
      </c>
      <c r="C11">
        <f t="shared" si="1"/>
        <v>298.14999999999998</v>
      </c>
      <c r="D11">
        <f t="shared" si="0"/>
        <v>0</v>
      </c>
    </row>
    <row r="12" spans="1:5" x14ac:dyDescent="0.2">
      <c r="A12" t="s">
        <v>12</v>
      </c>
      <c r="B12" t="s">
        <v>45</v>
      </c>
      <c r="C12">
        <f t="shared" si="1"/>
        <v>298.14999999999998</v>
      </c>
      <c r="D12">
        <f t="shared" si="0"/>
        <v>0</v>
      </c>
    </row>
    <row r="13" spans="1:5" x14ac:dyDescent="0.2">
      <c r="A13" t="s">
        <v>13</v>
      </c>
      <c r="B13" t="s">
        <v>45</v>
      </c>
      <c r="C13">
        <f t="shared" si="1"/>
        <v>298.14999999999998</v>
      </c>
      <c r="D13">
        <f t="shared" si="0"/>
        <v>0</v>
      </c>
    </row>
    <row r="14" spans="1:5" x14ac:dyDescent="0.2">
      <c r="A14" t="s">
        <v>14</v>
      </c>
      <c r="B14" t="s">
        <v>45</v>
      </c>
      <c r="C14">
        <f t="shared" si="1"/>
        <v>298.14999999999998</v>
      </c>
      <c r="D14">
        <f t="shared" si="0"/>
        <v>0</v>
      </c>
    </row>
    <row r="15" spans="1:5" x14ac:dyDescent="0.2">
      <c r="A15" t="s">
        <v>15</v>
      </c>
      <c r="B15" t="s">
        <v>45</v>
      </c>
      <c r="C15">
        <f t="shared" si="1"/>
        <v>298.14999999999998</v>
      </c>
      <c r="D15">
        <f t="shared" si="0"/>
        <v>0</v>
      </c>
    </row>
    <row r="16" spans="1:5" x14ac:dyDescent="0.2">
      <c r="A16" t="s">
        <v>16</v>
      </c>
      <c r="B16" t="s">
        <v>46</v>
      </c>
      <c r="C16">
        <f>2500+273.15</f>
        <v>2773.15</v>
      </c>
      <c r="D16">
        <f t="shared" si="0"/>
        <v>0.8924868831473235</v>
      </c>
      <c r="E16" t="s">
        <v>47</v>
      </c>
    </row>
    <row r="17" spans="1:5" x14ac:dyDescent="0.2">
      <c r="A17" t="s">
        <v>17</v>
      </c>
      <c r="B17" t="s">
        <v>45</v>
      </c>
      <c r="C17">
        <f t="shared" si="1"/>
        <v>298.14999999999998</v>
      </c>
      <c r="D17">
        <f t="shared" si="0"/>
        <v>0</v>
      </c>
    </row>
    <row r="18" spans="1:5" x14ac:dyDescent="0.2">
      <c r="A18" t="s">
        <v>18</v>
      </c>
      <c r="B18" t="s">
        <v>46</v>
      </c>
      <c r="C18">
        <f>2500+273.15</f>
        <v>2773.15</v>
      </c>
      <c r="D18">
        <f t="shared" si="0"/>
        <v>0.8924868831473235</v>
      </c>
      <c r="E18" t="s">
        <v>47</v>
      </c>
    </row>
    <row r="19" spans="1:5" x14ac:dyDescent="0.2">
      <c r="A19" t="s">
        <v>19</v>
      </c>
      <c r="B19" t="s">
        <v>46</v>
      </c>
      <c r="C19">
        <f>2500+273.15</f>
        <v>2773.15</v>
      </c>
      <c r="D19">
        <f t="shared" si="0"/>
        <v>0.8924868831473235</v>
      </c>
      <c r="E19" t="s">
        <v>47</v>
      </c>
    </row>
    <row r="20" spans="1:5" x14ac:dyDescent="0.2">
      <c r="A20" s="1" t="s">
        <v>1</v>
      </c>
      <c r="B20" s="1" t="s">
        <v>45</v>
      </c>
      <c r="C20">
        <f t="shared" si="1"/>
        <v>298.14999999999998</v>
      </c>
      <c r="D20">
        <f t="shared" si="0"/>
        <v>0</v>
      </c>
    </row>
    <row r="21" spans="1:5" x14ac:dyDescent="0.2">
      <c r="A21" s="2" t="s">
        <v>20</v>
      </c>
      <c r="B21" s="2" t="s">
        <v>59</v>
      </c>
      <c r="C21">
        <v>338.15</v>
      </c>
      <c r="D21">
        <f t="shared" si="0"/>
        <v>0.11829069939376013</v>
      </c>
    </row>
    <row r="22" spans="1:5" x14ac:dyDescent="0.2">
      <c r="A22" t="s">
        <v>21</v>
      </c>
      <c r="B22" t="s">
        <v>60</v>
      </c>
      <c r="C22">
        <v>323.14999999999998</v>
      </c>
      <c r="D22">
        <f t="shared" si="0"/>
        <v>7.7363453504564417E-2</v>
      </c>
    </row>
    <row r="23" spans="1:5" x14ac:dyDescent="0.2">
      <c r="A23" t="s">
        <v>22</v>
      </c>
      <c r="B23" t="s">
        <v>60</v>
      </c>
      <c r="C23">
        <v>323.14999999999998</v>
      </c>
      <c r="D23">
        <f t="shared" si="0"/>
        <v>7.7363453504564417E-2</v>
      </c>
    </row>
    <row r="24" spans="1:5" x14ac:dyDescent="0.2">
      <c r="A24" t="s">
        <v>23</v>
      </c>
      <c r="B24" t="s">
        <v>45</v>
      </c>
      <c r="C24">
        <v>298.14999999999998</v>
      </c>
      <c r="D24">
        <f t="shared" si="0"/>
        <v>0</v>
      </c>
    </row>
    <row r="25" spans="1:5" x14ac:dyDescent="0.2">
      <c r="A25" t="s">
        <v>24</v>
      </c>
      <c r="B25" t="s">
        <v>45</v>
      </c>
      <c r="C25">
        <v>298.14999999999998</v>
      </c>
      <c r="D25">
        <f t="shared" si="0"/>
        <v>0</v>
      </c>
    </row>
    <row r="26" spans="1:5" x14ac:dyDescent="0.2">
      <c r="A26" t="s">
        <v>25</v>
      </c>
      <c r="B26" t="s">
        <v>45</v>
      </c>
      <c r="C26">
        <v>298.14999999999998</v>
      </c>
      <c r="D26">
        <f t="shared" si="0"/>
        <v>0</v>
      </c>
    </row>
    <row r="27" spans="1:5" x14ac:dyDescent="0.2">
      <c r="A27" t="s">
        <v>26</v>
      </c>
      <c r="B27" t="s">
        <v>55</v>
      </c>
      <c r="C27">
        <v>1448.15</v>
      </c>
      <c r="D27">
        <f t="shared" si="0"/>
        <v>0.79411663156440981</v>
      </c>
    </row>
    <row r="28" spans="1:5" x14ac:dyDescent="0.2">
      <c r="A28" t="s">
        <v>27</v>
      </c>
      <c r="B28" t="s">
        <v>45</v>
      </c>
      <c r="C28">
        <v>298.14999999999998</v>
      </c>
      <c r="D28">
        <f t="shared" si="0"/>
        <v>0</v>
      </c>
    </row>
    <row r="29" spans="1:5" x14ac:dyDescent="0.2">
      <c r="A29" t="s">
        <v>28</v>
      </c>
      <c r="B29" t="s">
        <v>45</v>
      </c>
      <c r="C29">
        <v>298.14999999999998</v>
      </c>
      <c r="D29">
        <f t="shared" si="0"/>
        <v>0</v>
      </c>
    </row>
    <row r="30" spans="1:5" x14ac:dyDescent="0.2">
      <c r="A30" t="s">
        <v>29</v>
      </c>
      <c r="B30" t="s">
        <v>56</v>
      </c>
      <c r="C30">
        <v>1173.1500000000001</v>
      </c>
      <c r="D30">
        <f t="shared" si="0"/>
        <v>0.74585517623492303</v>
      </c>
    </row>
    <row r="31" spans="1:5" x14ac:dyDescent="0.2">
      <c r="A31" t="s">
        <v>30</v>
      </c>
      <c r="B31" t="s">
        <v>57</v>
      </c>
      <c r="C31">
        <v>1573.15</v>
      </c>
      <c r="D31">
        <f t="shared" si="0"/>
        <v>0.81047579696786709</v>
      </c>
      <c r="E31" s="3"/>
    </row>
    <row r="32" spans="1:5" x14ac:dyDescent="0.2">
      <c r="A32" t="s">
        <v>36</v>
      </c>
      <c r="B32" t="s">
        <v>58</v>
      </c>
      <c r="C32">
        <v>2373.15</v>
      </c>
      <c r="D32">
        <f t="shared" si="0"/>
        <v>0.87436529507195082</v>
      </c>
    </row>
    <row r="33" spans="1:5" x14ac:dyDescent="0.2">
      <c r="A33" t="s">
        <v>33</v>
      </c>
      <c r="B33" t="s">
        <v>45</v>
      </c>
      <c r="C33">
        <v>298.14999999999998</v>
      </c>
      <c r="D33">
        <f t="shared" si="0"/>
        <v>0</v>
      </c>
    </row>
    <row r="34" spans="1:5" x14ac:dyDescent="0.2">
      <c r="A34" t="s">
        <v>32</v>
      </c>
      <c r="B34" t="s">
        <v>45</v>
      </c>
      <c r="C34">
        <v>298.14999999999998</v>
      </c>
      <c r="D34">
        <f t="shared" si="0"/>
        <v>0</v>
      </c>
    </row>
    <row r="35" spans="1:5" x14ac:dyDescent="0.2">
      <c r="A35" t="s">
        <v>34</v>
      </c>
      <c r="B35" t="s">
        <v>35</v>
      </c>
      <c r="C35">
        <v>1144</v>
      </c>
      <c r="D35">
        <f t="shared" si="0"/>
        <v>0.73937937062937065</v>
      </c>
      <c r="E35" t="s">
        <v>41</v>
      </c>
    </row>
  </sheetData>
  <hyperlinks>
    <hyperlink ref="E6" r:id="rId1" xr:uid="{C8BF8FD3-09EB-A24C-96AE-02A6FAC1C1FB}"/>
    <hyperlink ref="E8" r:id="rId2" xr:uid="{2018C0C2-0D95-AA4A-81A8-86F9B4FF2499}"/>
  </hyperlinks>
  <pageMargins left="0.7" right="0.7" top="0.75" bottom="0.75" header="0.3" footer="0.3"/>
  <pageSetup orientation="portrait" horizontalDpi="0" verticalDpi="0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Heun</dc:creator>
  <cp:lastModifiedBy>Matthew Heun</cp:lastModifiedBy>
  <dcterms:created xsi:type="dcterms:W3CDTF">2025-11-05T13:51:30Z</dcterms:created>
  <dcterms:modified xsi:type="dcterms:W3CDTF">2026-03-22T18:16:31Z</dcterms:modified>
</cp:coreProperties>
</file>